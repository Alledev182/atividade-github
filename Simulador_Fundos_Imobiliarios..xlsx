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B1B3BF2D-362E-4F8D-86E0-EE60A57688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0" r:id="rId1"/>
    <sheet name="Planilha2" sheetId="11" r:id="rId2"/>
  </sheets>
  <definedNames>
    <definedName name="aporte">Planilha1!$D$16:$D$16</definedName>
    <definedName name="rendimento_caretria">Planilha1!$D$11:$D$11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0" l="1"/>
  <c r="C38" i="10"/>
  <c r="C39" i="10"/>
  <c r="C40" i="10"/>
  <c r="C41" i="10"/>
  <c r="C42" i="10"/>
  <c r="C37" i="10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6" i="11"/>
  <c r="A7" i="11"/>
  <c r="A8" i="11"/>
  <c r="A9" i="11"/>
  <c r="A5" i="11"/>
  <c r="C33" i="10"/>
  <c r="C26" i="10"/>
  <c r="D26" i="10" s="1"/>
  <c r="C27" i="10"/>
  <c r="D27" i="10" s="1"/>
  <c r="C28" i="10"/>
  <c r="D28" i="10" s="1"/>
  <c r="C29" i="10"/>
  <c r="D29" i="10" s="1"/>
  <c r="D19" i="10"/>
  <c r="D20" i="10" s="1"/>
  <c r="D37" i="10" l="1"/>
  <c r="D38" i="10"/>
  <c r="D39" i="10"/>
  <c r="D40" i="10"/>
  <c r="D41" i="10"/>
  <c r="D42" i="10"/>
  <c r="D43" i="10"/>
</calcChain>
</file>

<file path=xl/sharedStrings.xml><?xml version="1.0" encoding="utf-8"?>
<sst xmlns="http://schemas.openxmlformats.org/spreadsheetml/2006/main" count="68" uniqueCount="34">
  <si>
    <t>Configurações</t>
  </si>
  <si>
    <t>Salário</t>
  </si>
  <si>
    <t>Rendimento Carteiras</t>
  </si>
  <si>
    <t>SUjestão de investimento</t>
  </si>
  <si>
    <t>Investimento mensal</t>
  </si>
  <si>
    <t>Quanto investir por mês?</t>
  </si>
  <si>
    <t>Por Quantos anos?</t>
  </si>
  <si>
    <t>Taxa de Rendimento mensal?</t>
  </si>
  <si>
    <t>Patrimônio acumlado ?</t>
  </si>
  <si>
    <t>Dividendos mensais ?</t>
  </si>
  <si>
    <t>Cenários</t>
  </si>
  <si>
    <t>Dividendo</t>
  </si>
  <si>
    <t>Quanto em 2 anos?</t>
  </si>
  <si>
    <t>Quanto em 3 anos?</t>
  </si>
  <si>
    <t>Quanto em 9 anos?</t>
  </si>
  <si>
    <t>Quanto em 4 anos?</t>
  </si>
  <si>
    <t>PERFIL</t>
  </si>
  <si>
    <t>Agressivo</t>
  </si>
  <si>
    <t>Valor a ser investido por mês</t>
  </si>
  <si>
    <t>Tipo de FII</t>
  </si>
  <si>
    <t xml:space="preserve">Percentual Sugerido </t>
  </si>
  <si>
    <t>Valores</t>
  </si>
  <si>
    <t>Papel</t>
  </si>
  <si>
    <t>Tijolo</t>
  </si>
  <si>
    <t>Hibridos</t>
  </si>
  <si>
    <t>FOFs</t>
  </si>
  <si>
    <t>Desenvolvimento</t>
  </si>
  <si>
    <t>Hotelarias</t>
  </si>
  <si>
    <t>Chave</t>
  </si>
  <si>
    <t>Perfil</t>
  </si>
  <si>
    <t>TIPO DE FII</t>
  </si>
  <si>
    <t>%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</si>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</sst>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5">
    <font>
      <sz val="11"/>
      <color theme="1"/>
      <name val="Aptos Narrow"/>
      <family val="2"/>
      <scheme val="minor"/>
    </font>
    <font>
      <sz val="11"/>
      <color rgb="FF9C5700"/>
      <name val="Calibri"/>
      <scheme val="minor"/>
    </font>
    <font>
      <sz val="11"/>
      <color theme="0"/>
      <name val="Aptos Narrow"/>
      <family val="2"/>
      <scheme val="minor"/>
    </font>
    <font>
      <b/>
      <sz val="20"/>
      <color rgb="FFFFFFFF"/>
      <name val="Aptos Narrow"/>
      <scheme val="minor"/>
    </font>
    <font>
      <sz val="13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charset val="1"/>
    </font>
    <font>
      <b/>
      <sz val="12"/>
      <color rgb="FF000000"/>
      <name val="Aptos Narrow"/>
      <scheme val="minor"/>
    </font>
    <font>
      <b/>
      <sz val="18"/>
      <color rgb="FFFFFFFF"/>
      <name val="Aptos Narrow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9C57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6">
    <xf numFmtId="0" fontId="0" fillId="0" borderId="0" xfId="0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/>
    <xf numFmtId="0" fontId="10" fillId="7" borderId="6" xfId="0" applyFont="1" applyFill="1" applyBorder="1"/>
    <xf numFmtId="0" fontId="7" fillId="6" borderId="7" xfId="0" applyFont="1" applyFill="1" applyBorder="1" applyAlignment="1">
      <alignment horizontal="left"/>
    </xf>
    <xf numFmtId="0" fontId="7" fillId="6" borderId="8" xfId="0" applyFont="1" applyFill="1" applyBorder="1" applyAlignment="1">
      <alignment horizontal="left"/>
    </xf>
    <xf numFmtId="0" fontId="8" fillId="6" borderId="9" xfId="0" applyFont="1" applyFill="1" applyBorder="1" applyAlignment="1">
      <alignment horizontal="left"/>
    </xf>
    <xf numFmtId="0" fontId="8" fillId="6" borderId="10" xfId="0" applyFont="1" applyFill="1" applyBorder="1" applyAlignment="1">
      <alignment horizontal="left"/>
    </xf>
    <xf numFmtId="0" fontId="8" fillId="6" borderId="11" xfId="0" applyFont="1" applyFill="1" applyBorder="1" applyAlignment="1">
      <alignment horizontal="left"/>
    </xf>
    <xf numFmtId="0" fontId="8" fillId="6" borderId="12" xfId="0" applyFont="1" applyFill="1" applyBorder="1" applyAlignment="1">
      <alignment horizontal="left"/>
    </xf>
    <xf numFmtId="164" fontId="0" fillId="0" borderId="13" xfId="0" applyNumberForma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7" fillId="0" borderId="16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0" fillId="0" borderId="14" xfId="0" applyBorder="1" applyAlignment="1">
      <alignment horizontal="center"/>
    </xf>
    <xf numFmtId="0" fontId="9" fillId="4" borderId="17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8" fontId="0" fillId="4" borderId="14" xfId="0" applyNumberFormat="1" applyFill="1" applyBorder="1" applyAlignment="1">
      <alignment horizontal="center"/>
    </xf>
    <xf numFmtId="0" fontId="9" fillId="4" borderId="18" xfId="0" applyFont="1" applyFill="1" applyBorder="1" applyAlignment="1">
      <alignment horizontal="left"/>
    </xf>
    <xf numFmtId="0" fontId="9" fillId="4" borderId="12" xfId="0" applyFont="1" applyFill="1" applyBorder="1" applyAlignment="1">
      <alignment horizontal="left"/>
    </xf>
    <xf numFmtId="8" fontId="0" fillId="4" borderId="15" xfId="0" applyNumberFormat="1" applyFill="1" applyBorder="1" applyAlignment="1">
      <alignment horizontal="center"/>
    </xf>
    <xf numFmtId="0" fontId="7" fillId="4" borderId="16" xfId="0" applyFont="1" applyFill="1" applyBorder="1"/>
    <xf numFmtId="8" fontId="0" fillId="4" borderId="8" xfId="0" applyNumberFormat="1" applyFill="1" applyBorder="1" applyAlignment="1">
      <alignment horizontal="center"/>
    </xf>
    <xf numFmtId="8" fontId="0" fillId="4" borderId="13" xfId="0" applyNumberFormat="1" applyFill="1" applyBorder="1" applyAlignment="1">
      <alignment horizontal="center"/>
    </xf>
    <xf numFmtId="0" fontId="7" fillId="4" borderId="17" xfId="0" applyFont="1" applyFill="1" applyBorder="1"/>
    <xf numFmtId="8" fontId="0" fillId="4" borderId="10" xfId="0" applyNumberFormat="1" applyFill="1" applyBorder="1" applyAlignment="1">
      <alignment horizontal="center"/>
    </xf>
    <xf numFmtId="0" fontId="7" fillId="4" borderId="18" xfId="0" applyFont="1" applyFill="1" applyBorder="1"/>
    <xf numFmtId="8" fontId="0" fillId="4" borderId="12" xfId="0" applyNumberFormat="1" applyFill="1" applyBorder="1" applyAlignment="1">
      <alignment horizontal="center"/>
    </xf>
    <xf numFmtId="0" fontId="0" fillId="4" borderId="0" xfId="0" applyFill="1"/>
    <xf numFmtId="0" fontId="12" fillId="4" borderId="0" xfId="0" applyFont="1" applyFill="1"/>
    <xf numFmtId="164" fontId="12" fillId="4" borderId="0" xfId="0" applyNumberFormat="1" applyFont="1" applyFill="1"/>
    <xf numFmtId="0" fontId="13" fillId="8" borderId="1" xfId="0" applyFont="1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2" xfId="0" applyFill="1" applyBorder="1"/>
    <xf numFmtId="0" fontId="0" fillId="8" borderId="3" xfId="0" applyFill="1" applyBorder="1"/>
    <xf numFmtId="164" fontId="0" fillId="8" borderId="4" xfId="0" applyNumberFormat="1" applyFill="1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1" fillId="2" borderId="0" xfId="1" applyAlignment="1">
      <alignment horizontal="left"/>
    </xf>
    <xf numFmtId="9" fontId="0" fillId="0" borderId="8" xfId="0" applyNumberFormat="1" applyBorder="1" applyAlignment="1">
      <alignment horizontal="left"/>
    </xf>
    <xf numFmtId="0" fontId="1" fillId="2" borderId="0" xfId="1" applyAlignment="1">
      <alignment horizontal="right"/>
    </xf>
    <xf numFmtId="164" fontId="0" fillId="0" borderId="13" xfId="0" applyNumberFormat="1" applyBorder="1" applyAlignment="1">
      <alignment horizontal="left"/>
    </xf>
    <xf numFmtId="164" fontId="0" fillId="0" borderId="14" xfId="0" applyNumberFormat="1" applyBorder="1" applyAlignment="1">
      <alignment horizontal="left"/>
    </xf>
    <xf numFmtId="164" fontId="0" fillId="0" borderId="20" xfId="0" applyNumberFormat="1" applyBorder="1" applyAlignment="1">
      <alignment horizontal="left"/>
    </xf>
    <xf numFmtId="0" fontId="0" fillId="0" borderId="0" xfId="0" applyBorder="1"/>
    <xf numFmtId="0" fontId="0" fillId="0" borderId="3" xfId="0" applyBorder="1"/>
    <xf numFmtId="0" fontId="0" fillId="0" borderId="18" xfId="0" applyBorder="1"/>
    <xf numFmtId="9" fontId="0" fillId="0" borderId="8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0" fontId="14" fillId="2" borderId="0" xfId="1" applyFont="1" applyAlignment="1">
      <alignment horizontal="left"/>
    </xf>
    <xf numFmtId="0" fontId="11" fillId="8" borderId="0" xfId="0" applyFont="1" applyFill="1" applyBorder="1"/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Planilha1!$C$37:$C$42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E-426C-A344-5E549FC6D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171450</xdr:rowOff>
    </xdr:from>
    <xdr:to>
      <xdr:col>16384</xdr:col>
      <xdr:colOff>1295400</xdr:colOff>
      <xdr:row>7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81C5F51-DC15-2D22-8D2D-4C6ACEE69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7676" t="28102" r="8060" b="32858"/>
        <a:stretch>
          <a:fillRect/>
        </a:stretch>
      </xdr:blipFill>
      <xdr:spPr>
        <a:xfrm>
          <a:off x="542925" y="171450"/>
          <a:ext cx="6572250" cy="1247775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43</xdr:row>
      <xdr:rowOff>180975</xdr:rowOff>
    </xdr:from>
    <xdr:to>
      <xdr:col>3</xdr:col>
      <xdr:colOff>685800</xdr:colOff>
      <xdr:row>54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D8B7AA-8011-B91C-0944-92CAA57FD9F1}"/>
            </a:ext>
            <a:ext uri="{147F2762-F138-4A5C-976F-8EAC2B608ADB}">
              <a16:predDERef xmlns:a16="http://schemas.microsoft.com/office/drawing/2014/main" pred="{A81C5F51-DC15-2D22-8D2D-4C6ACEE69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CEB4-C7F8-4B0C-B950-BFD190680B07}">
  <dimension ref="A9:K43"/>
  <sheetViews>
    <sheetView showGridLines="0" tabSelected="1" workbookViewId="0">
      <selection activeCell="C32" sqref="C32"/>
    </sheetView>
  </sheetViews>
  <sheetFormatPr defaultColWidth="0" defaultRowHeight="15"/>
  <cols>
    <col min="1" max="1" width="9.140625" customWidth="1"/>
    <col min="2" max="2" width="27.7109375" bestFit="1" customWidth="1"/>
    <col min="3" max="3" width="34.85546875" customWidth="1"/>
    <col min="4" max="4" width="15.5703125" bestFit="1" customWidth="1"/>
    <col min="5" max="5" width="9.140625" hidden="1" customWidth="1"/>
    <col min="6" max="6" width="22.42578125" hidden="1" customWidth="1"/>
    <col min="7" max="7" width="11.140625" hidden="1" customWidth="1"/>
    <col min="8" max="11" width="9.140625" hidden="1" customWidth="1"/>
    <col min="12" max="16384" width="0" hidden="1" customWidth="1"/>
  </cols>
  <sheetData>
    <row r="9" spans="2:4" ht="21">
      <c r="B9" s="4" t="s">
        <v>0</v>
      </c>
      <c r="C9" s="8"/>
      <c r="D9" s="9"/>
    </row>
    <row r="10" spans="2:4" ht="15.75">
      <c r="B10" s="11" t="s">
        <v>1</v>
      </c>
      <c r="C10" s="12"/>
      <c r="D10" s="17">
        <v>2000</v>
      </c>
    </row>
    <row r="11" spans="2:4" ht="15.75">
      <c r="B11" s="13" t="s">
        <v>2</v>
      </c>
      <c r="C11" s="14"/>
      <c r="D11" s="18">
        <v>6.0000000000000001E-3</v>
      </c>
    </row>
    <row r="12" spans="2:4" ht="15.75">
      <c r="B12" s="15" t="s">
        <v>3</v>
      </c>
      <c r="C12" s="16"/>
      <c r="D12" s="19">
        <f>D10*30%</f>
        <v>600</v>
      </c>
    </row>
    <row r="15" spans="2:4" ht="26.25">
      <c r="B15" s="5" t="s">
        <v>4</v>
      </c>
      <c r="C15" s="6"/>
      <c r="D15" s="7"/>
    </row>
    <row r="16" spans="2:4" ht="15.75">
      <c r="B16" s="20" t="s">
        <v>5</v>
      </c>
      <c r="C16" s="21"/>
      <c r="D16" s="17">
        <v>300</v>
      </c>
    </row>
    <row r="17" spans="1:4" ht="15.75">
      <c r="B17" s="22" t="s">
        <v>6</v>
      </c>
      <c r="C17" s="23"/>
      <c r="D17" s="24">
        <v>4</v>
      </c>
    </row>
    <row r="18" spans="1:4" ht="15.75">
      <c r="B18" s="22" t="s">
        <v>7</v>
      </c>
      <c r="C18" s="23"/>
      <c r="D18" s="18">
        <v>1.0789999999999999E-2</v>
      </c>
    </row>
    <row r="19" spans="1:4" ht="15.75">
      <c r="B19" s="25" t="s">
        <v>8</v>
      </c>
      <c r="C19" s="26"/>
      <c r="D19" s="27">
        <f>FV(D18,D17*12,D16*-1)</f>
        <v>18736.305897483046</v>
      </c>
    </row>
    <row r="20" spans="1:4" ht="15.75">
      <c r="B20" s="28" t="s">
        <v>9</v>
      </c>
      <c r="C20" s="29"/>
      <c r="D20" s="30">
        <f>D19*$D$11</f>
        <v>112.41783538489828</v>
      </c>
    </row>
    <row r="22" spans="1:4" hidden="1"/>
    <row r="24" spans="1:4" ht="0.75" customHeight="1">
      <c r="B24" s="1"/>
    </row>
    <row r="25" spans="1:4" ht="30.75" customHeight="1">
      <c r="B25" s="5" t="s">
        <v>10</v>
      </c>
      <c r="C25" s="6"/>
      <c r="D25" s="10" t="s">
        <v>11</v>
      </c>
    </row>
    <row r="26" spans="1:4" ht="15.75">
      <c r="A26" s="2">
        <v>2</v>
      </c>
      <c r="B26" s="31" t="s">
        <v>12</v>
      </c>
      <c r="C26" s="32">
        <f>FV($D$18,$A26*12,$D$16*-1)</f>
        <v>8168.2881892935648</v>
      </c>
      <c r="D26" s="33">
        <f>C26*$D$11</f>
        <v>49.00972913576139</v>
      </c>
    </row>
    <row r="27" spans="1:4" ht="15.75">
      <c r="A27" s="2">
        <v>3</v>
      </c>
      <c r="B27" s="34" t="s">
        <v>13</v>
      </c>
      <c r="C27" s="35">
        <f>FV($D$18,$A27*12,$D$16*-1)</f>
        <v>13112.512206906633</v>
      </c>
      <c r="D27" s="27">
        <f>C27*$D$11</f>
        <v>78.675073241439804</v>
      </c>
    </row>
    <row r="28" spans="1:4" ht="15.75">
      <c r="A28" s="2">
        <v>9</v>
      </c>
      <c r="B28" s="34" t="s">
        <v>14</v>
      </c>
      <c r="C28" s="35">
        <f>FV($D$18,$A28*12,$D$16*-1)</f>
        <v>60806.118186637301</v>
      </c>
      <c r="D28" s="27">
        <f>C28*$D$11</f>
        <v>364.83670911982381</v>
      </c>
    </row>
    <row r="29" spans="1:4" ht="15.75">
      <c r="A29" s="2">
        <v>4</v>
      </c>
      <c r="B29" s="36" t="s">
        <v>15</v>
      </c>
      <c r="C29" s="37">
        <f>FV($D$18,$A29*12,$D$16*-1)</f>
        <v>18736.305897483046</v>
      </c>
      <c r="D29" s="30">
        <f>C29*$D$11</f>
        <v>112.41783538489828</v>
      </c>
    </row>
    <row r="32" spans="1:4">
      <c r="B32" s="64" t="s">
        <v>16</v>
      </c>
      <c r="C32" s="52" t="s">
        <v>17</v>
      </c>
      <c r="D32" s="50"/>
    </row>
    <row r="33" spans="2:5" ht="15.75">
      <c r="B33" s="39" t="s">
        <v>18</v>
      </c>
      <c r="C33" s="40">
        <f>D16</f>
        <v>300</v>
      </c>
      <c r="D33" s="38"/>
    </row>
    <row r="36" spans="2:5">
      <c r="B36" s="41" t="s">
        <v>19</v>
      </c>
      <c r="C36" s="42" t="s">
        <v>20</v>
      </c>
      <c r="D36" s="43" t="s">
        <v>21</v>
      </c>
    </row>
    <row r="37" spans="2:5">
      <c r="B37" s="47" t="s">
        <v>22</v>
      </c>
      <c r="C37" s="51">
        <f>VLOOKUP($C$32&amp;"-"&amp;B37,Planilha2!$A$1:$D$22,4,FALSE)</f>
        <v>0.5</v>
      </c>
      <c r="D37" s="53">
        <f>C37*$C$33</f>
        <v>150</v>
      </c>
      <c r="E37" s="3"/>
    </row>
    <row r="38" spans="2:5">
      <c r="B38" s="48" t="s">
        <v>23</v>
      </c>
      <c r="C38" s="51">
        <f>VLOOKUP($C$32&amp;"-"&amp;B38,Planilha2!$A$1:$D$22,4,FALSE)</f>
        <v>0.1</v>
      </c>
      <c r="D38" s="54">
        <f t="shared" ref="D38:D42" si="0">C38*$C$33</f>
        <v>30</v>
      </c>
    </row>
    <row r="39" spans="2:5">
      <c r="B39" s="48" t="s">
        <v>24</v>
      </c>
      <c r="C39" s="51">
        <f>VLOOKUP($C$32&amp;"-"&amp;B39,Planilha2!$A$1:$D$22,4,FALSE)</f>
        <v>0.05</v>
      </c>
      <c r="D39" s="54">
        <f t="shared" si="0"/>
        <v>15</v>
      </c>
    </row>
    <row r="40" spans="2:5">
      <c r="B40" s="48" t="s">
        <v>25</v>
      </c>
      <c r="C40" s="51">
        <f>VLOOKUP($C$32&amp;"-"&amp;B40,Planilha2!$A$1:$D$22,4,FALSE)</f>
        <v>0.05</v>
      </c>
      <c r="D40" s="54">
        <f t="shared" si="0"/>
        <v>15</v>
      </c>
    </row>
    <row r="41" spans="2:5">
      <c r="B41" s="48" t="s">
        <v>26</v>
      </c>
      <c r="C41" s="51">
        <f>VLOOKUP($C$32&amp;"-"&amp;B41,Planilha2!$A$1:$D$22,4,FALSE)</f>
        <v>0.2</v>
      </c>
      <c r="D41" s="54">
        <f t="shared" si="0"/>
        <v>60</v>
      </c>
    </row>
    <row r="42" spans="2:5">
      <c r="B42" s="49" t="s">
        <v>27</v>
      </c>
      <c r="C42" s="51">
        <f>VLOOKUP($C$32&amp;"-"&amp;B42,Planilha2!$A$1:$D$22,4,FALSE)</f>
        <v>0.1</v>
      </c>
      <c r="D42" s="55">
        <f t="shared" si="0"/>
        <v>30</v>
      </c>
    </row>
    <row r="43" spans="2:5">
      <c r="B43" s="44"/>
      <c r="C43" s="45"/>
      <c r="D43" s="46">
        <f>SUM(D37:D42)</f>
        <v>300</v>
      </c>
    </row>
  </sheetData>
  <mergeCells count="11">
    <mergeCell ref="B17:C17"/>
    <mergeCell ref="B18:C18"/>
    <mergeCell ref="B19:C19"/>
    <mergeCell ref="B20:C20"/>
    <mergeCell ref="B15:D15"/>
    <mergeCell ref="B25:C25"/>
    <mergeCell ref="B9:C9"/>
    <mergeCell ref="B10:C10"/>
    <mergeCell ref="B11:C11"/>
    <mergeCell ref="B12:C12"/>
    <mergeCell ref="B16:C16"/>
  </mergeCells>
  <dataValidations count="1">
    <dataValidation type="list" allowBlank="1" showInputMessage="1" showErrorMessage="1" sqref="C32" xr:uid="{E50B6F91-4DF3-492B-875E-4DBCA47B9CB0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5613-3AD6-4495-828A-A585D31246C6}">
  <dimension ref="A4:D22"/>
  <sheetViews>
    <sheetView workbookViewId="0">
      <selection activeCell="A24" sqref="A24"/>
    </sheetView>
  </sheetViews>
  <sheetFormatPr defaultRowHeight="15"/>
  <cols>
    <col min="1" max="1" width="27.28515625" bestFit="1" customWidth="1"/>
    <col min="2" max="2" width="11.85546875" bestFit="1" customWidth="1"/>
    <col min="3" max="3" width="15.7109375" bestFit="1" customWidth="1"/>
  </cols>
  <sheetData>
    <row r="4" spans="1:4">
      <c r="A4" s="65" t="s">
        <v>28</v>
      </c>
      <c r="B4" s="65" t="s">
        <v>29</v>
      </c>
      <c r="C4" s="65" t="s">
        <v>30</v>
      </c>
      <c r="D4" s="65" t="s">
        <v>31</v>
      </c>
    </row>
    <row r="5" spans="1:4">
      <c r="A5" s="56" t="str">
        <f>B5&amp;"-"&amp;C5</f>
        <v>Conservador-Papel</v>
      </c>
      <c r="B5" s="56" t="s">
        <v>32</v>
      </c>
      <c r="C5" s="47" t="s">
        <v>22</v>
      </c>
      <c r="D5" s="59">
        <v>0.3</v>
      </c>
    </row>
    <row r="6" spans="1:4">
      <c r="A6" s="56" t="str">
        <f t="shared" ref="A6:A9" si="0">B6&amp;"-"&amp;C6</f>
        <v>Conservador-Tijolo</v>
      </c>
      <c r="B6" s="56" t="s">
        <v>32</v>
      </c>
      <c r="C6" s="48" t="s">
        <v>23</v>
      </c>
      <c r="D6" s="60">
        <v>0.5</v>
      </c>
    </row>
    <row r="7" spans="1:4">
      <c r="A7" s="56" t="str">
        <f t="shared" si="0"/>
        <v>Conservador-Hibridos</v>
      </c>
      <c r="B7" s="56" t="s">
        <v>32</v>
      </c>
      <c r="C7" s="48" t="s">
        <v>24</v>
      </c>
      <c r="D7" s="60">
        <v>0.1</v>
      </c>
    </row>
    <row r="8" spans="1:4">
      <c r="A8" s="56" t="str">
        <f t="shared" si="0"/>
        <v>Conservador-FOFs</v>
      </c>
      <c r="B8" s="56" t="s">
        <v>32</v>
      </c>
      <c r="C8" s="48" t="s">
        <v>25</v>
      </c>
      <c r="D8" s="60">
        <v>0.1</v>
      </c>
    </row>
    <row r="9" spans="1:4">
      <c r="A9" s="56" t="str">
        <f t="shared" si="0"/>
        <v>Conservador-Desenvolvimento</v>
      </c>
      <c r="B9" s="56" t="s">
        <v>32</v>
      </c>
      <c r="C9" s="48" t="s">
        <v>26</v>
      </c>
      <c r="D9" s="60">
        <v>0</v>
      </c>
    </row>
    <row r="10" spans="1:4">
      <c r="A10" s="57" t="str">
        <f>B10&amp;"-"&amp;C10</f>
        <v>Conservador-Hotelarias</v>
      </c>
      <c r="B10" s="57" t="s">
        <v>32</v>
      </c>
      <c r="C10" s="58" t="s">
        <v>27</v>
      </c>
      <c r="D10" s="61">
        <v>0</v>
      </c>
    </row>
    <row r="11" spans="1:4">
      <c r="A11" s="56" t="str">
        <f t="shared" ref="A11:A22" si="1">B11&amp;"-"&amp;C11</f>
        <v>MOderado-Papel</v>
      </c>
      <c r="B11" s="56" t="s">
        <v>33</v>
      </c>
      <c r="C11" s="47" t="s">
        <v>22</v>
      </c>
      <c r="D11" s="62">
        <v>0.32</v>
      </c>
    </row>
    <row r="12" spans="1:4">
      <c r="A12" s="56" t="str">
        <f t="shared" si="1"/>
        <v>MOderado-Tijolo</v>
      </c>
      <c r="B12" s="56" t="s">
        <v>33</v>
      </c>
      <c r="C12" s="48" t="s">
        <v>23</v>
      </c>
      <c r="D12" s="62">
        <v>0.35</v>
      </c>
    </row>
    <row r="13" spans="1:4">
      <c r="A13" s="56" t="str">
        <f t="shared" si="1"/>
        <v>MOderado-Hibridos</v>
      </c>
      <c r="B13" s="56" t="s">
        <v>33</v>
      </c>
      <c r="C13" s="48" t="s">
        <v>24</v>
      </c>
      <c r="D13" s="62">
        <v>0.08</v>
      </c>
    </row>
    <row r="14" spans="1:4">
      <c r="A14" s="56" t="str">
        <f t="shared" si="1"/>
        <v>MOderado-FOFs</v>
      </c>
      <c r="B14" s="56" t="s">
        <v>33</v>
      </c>
      <c r="C14" s="48" t="s">
        <v>25</v>
      </c>
      <c r="D14" s="62">
        <v>0.05</v>
      </c>
    </row>
    <row r="15" spans="1:4">
      <c r="A15" s="56" t="str">
        <f t="shared" si="1"/>
        <v>MOderado-Desenvolvimento</v>
      </c>
      <c r="B15" s="56" t="s">
        <v>33</v>
      </c>
      <c r="C15" s="48" t="s">
        <v>26</v>
      </c>
      <c r="D15" s="62">
        <v>0.1</v>
      </c>
    </row>
    <row r="16" spans="1:4">
      <c r="A16" s="57" t="str">
        <f t="shared" si="1"/>
        <v>MOderado-Hotelarias</v>
      </c>
      <c r="B16" s="57" t="s">
        <v>33</v>
      </c>
      <c r="C16" s="58" t="s">
        <v>27</v>
      </c>
      <c r="D16" s="63">
        <v>0.1</v>
      </c>
    </row>
    <row r="17" spans="1:4">
      <c r="A17" s="56" t="str">
        <f t="shared" si="1"/>
        <v>Agressivo-Papel</v>
      </c>
      <c r="B17" s="56" t="s">
        <v>17</v>
      </c>
      <c r="C17" s="47" t="s">
        <v>22</v>
      </c>
      <c r="D17" s="62">
        <v>0.5</v>
      </c>
    </row>
    <row r="18" spans="1:4">
      <c r="A18" s="56" t="str">
        <f t="shared" si="1"/>
        <v>Agressivo-Tijolo</v>
      </c>
      <c r="B18" s="56" t="s">
        <v>17</v>
      </c>
      <c r="C18" s="48" t="s">
        <v>23</v>
      </c>
      <c r="D18" s="62">
        <v>0.1</v>
      </c>
    </row>
    <row r="19" spans="1:4">
      <c r="A19" s="56" t="str">
        <f t="shared" si="1"/>
        <v>Agressivo-Hibridos</v>
      </c>
      <c r="B19" s="56" t="s">
        <v>17</v>
      </c>
      <c r="C19" s="48" t="s">
        <v>24</v>
      </c>
      <c r="D19" s="62">
        <v>0.05</v>
      </c>
    </row>
    <row r="20" spans="1:4">
      <c r="A20" s="56" t="str">
        <f t="shared" si="1"/>
        <v>Agressivo-FOFs</v>
      </c>
      <c r="B20" s="56" t="s">
        <v>17</v>
      </c>
      <c r="C20" s="48" t="s">
        <v>25</v>
      </c>
      <c r="D20" s="62">
        <v>0.05</v>
      </c>
    </row>
    <row r="21" spans="1:4">
      <c r="A21" s="56" t="str">
        <f t="shared" si="1"/>
        <v>Agressivo-Desenvolvimento</v>
      </c>
      <c r="B21" s="56" t="s">
        <v>17</v>
      </c>
      <c r="C21" s="48" t="s">
        <v>26</v>
      </c>
      <c r="D21" s="62">
        <v>0.2</v>
      </c>
    </row>
    <row r="22" spans="1:4">
      <c r="A22" s="57" t="str">
        <f t="shared" si="1"/>
        <v>Agressivo-Hotelarias</v>
      </c>
      <c r="B22" s="57" t="s">
        <v>17</v>
      </c>
      <c r="C22" s="58" t="s">
        <v>27</v>
      </c>
      <c r="D22" s="6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2025-12-25T18:46:43Z</dcterms:created>
  <dcterms:modified xsi:type="dcterms:W3CDTF">2026-01-09T15:02:12Z</dcterms:modified>
  <cp:category/>
  <cp:contentStatus/>
</cp:coreProperties>
</file>